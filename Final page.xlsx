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nu Gangadhar\Desktop\Project\"/>
    </mc:Choice>
  </mc:AlternateContent>
  <xr:revisionPtr revIDLastSave="0" documentId="8_{D491E67C-827F-4DD7-8179-8A3CF10E9068}" xr6:coauthVersionLast="47" xr6:coauthVersionMax="47" xr10:uidLastSave="{00000000-0000-0000-0000-000000000000}"/>
  <bookViews>
    <workbookView xWindow="-108" yWindow="-108" windowWidth="23256" windowHeight="12456" xr2:uid="{CB83615E-4214-4F15-9E9B-5BD3553C414E}"/>
  </bookViews>
  <sheets>
    <sheet name="VBA 101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1" l="1"/>
  <c r="W10" i="1"/>
  <c r="V10" i="1"/>
  <c r="U10" i="1"/>
  <c r="T10" i="1"/>
  <c r="T13" i="1" s="1"/>
  <c r="T9" i="1"/>
  <c r="K2" i="1"/>
  <c r="E2" i="1"/>
  <c r="B2" i="1"/>
  <c r="U12" i="1" l="1"/>
  <c r="U13" i="1" s="1"/>
  <c r="V12" i="1" s="1"/>
  <c r="A11" i="1" a="1"/>
  <c r="B8" i="1" a="1"/>
  <c r="B11" i="1" a="1"/>
  <c r="A8" i="1" a="1"/>
  <c r="B10" i="1" a="1"/>
  <c r="A10" i="1" a="1"/>
  <c r="A10" i="1" l="1"/>
  <c r="A18" i="1" s="1"/>
  <c r="B10" i="1"/>
  <c r="A19" i="1" s="1"/>
  <c r="A8" i="1"/>
  <c r="B11" i="1"/>
  <c r="B8" i="1"/>
  <c r="A11" i="1"/>
  <c r="V13" i="1"/>
  <c r="W12" i="1" s="1"/>
  <c r="D8" i="1" a="1"/>
  <c r="E10" i="1" a="1"/>
  <c r="D10" i="1" a="1"/>
  <c r="E11" i="1" a="1"/>
  <c r="D11" i="1" a="1"/>
  <c r="G10" i="1" a="1"/>
  <c r="E8" i="1" a="1"/>
  <c r="H11" i="1" a="1"/>
  <c r="H10" i="1" a="1"/>
  <c r="G11" i="1" a="1"/>
  <c r="H8" i="1" a="1"/>
  <c r="G8" i="1" a="1"/>
  <c r="G8" i="1" l="1"/>
  <c r="H8" i="1"/>
  <c r="G11" i="1"/>
  <c r="H10" i="1"/>
  <c r="H11" i="1"/>
  <c r="E8" i="1"/>
  <c r="G10" i="1"/>
  <c r="D11" i="1"/>
  <c r="E11" i="1"/>
  <c r="D10" i="1"/>
  <c r="E10" i="1"/>
  <c r="D8" i="1"/>
  <c r="W13" i="1"/>
  <c r="J11" i="1" a="1"/>
  <c r="J11" i="1" l="1"/>
  <c r="J10" i="1" a="1"/>
  <c r="K11" i="1" a="1"/>
  <c r="J8" i="1" a="1"/>
  <c r="K8" i="1" a="1"/>
  <c r="K10" i="1" a="1"/>
  <c r="K10" i="1" l="1"/>
  <c r="K8" i="1"/>
  <c r="J8" i="1"/>
  <c r="K11" i="1"/>
  <c r="J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<sst xmlns="http://schemas.openxmlformats.org/spreadsheetml/2006/main" count="12" uniqueCount="12">
  <si>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GITAM School of Computer Science Engineering, GITAM, Visakhapatnam - 530 045.
Sessional - II Examination (Seating Arrangement) - ROOM ALLOTMENT-CUM-ABSENTEE STATEMENT</t>
  </si>
  <si>
    <t xml:space="preserve">Date </t>
  </si>
  <si>
    <t>Time</t>
  </si>
  <si>
    <t>Room No.</t>
  </si>
  <si>
    <t>Name (s) of the Invigilator (s)</t>
  </si>
  <si>
    <t>Signature (s) of the Invigilator (s)</t>
  </si>
  <si>
    <t xml:space="preserve">Room Structure </t>
  </si>
  <si>
    <t>Sem / EMP ID / Course Code</t>
  </si>
  <si>
    <t>ABSENT Registration NUMBERS</t>
  </si>
  <si>
    <t>TOTAL ABSENT</t>
  </si>
  <si>
    <t>TOTAL PRESENT</t>
  </si>
  <si>
    <r>
      <rPr>
        <b/>
        <sz val="12"/>
        <color theme="1"/>
        <rFont val="Arial"/>
      </rPr>
      <t>Note:</t>
    </r>
    <r>
      <rPr>
        <sz val="12"/>
        <color theme="1"/>
        <rFont val="Arial"/>
      </rPr>
      <t xml:space="preserve"> </t>
    </r>
    <r>
      <rPr>
        <b/>
        <sz val="12"/>
        <color theme="1"/>
        <rFont val="Arial"/>
      </rPr>
      <t>1.</t>
    </r>
    <r>
      <rPr>
        <sz val="12"/>
        <color theme="1"/>
        <rFont val="Arial"/>
      </rPr>
      <t xml:space="preserve"> NO Mobiles with any students; if found, exam CANCELLED.  </t>
    </r>
    <r>
      <rPr>
        <b/>
        <sz val="12"/>
        <color theme="1"/>
        <rFont val="Arial"/>
      </rPr>
      <t>2.</t>
    </r>
    <r>
      <rPr>
        <sz val="12"/>
        <color theme="1"/>
        <rFont val="Arial"/>
      </rPr>
      <t xml:space="preserve"> Students can leave after the stop time. 
</t>
    </r>
    <r>
      <rPr>
        <b/>
        <sz val="12"/>
        <color theme="1"/>
        <rFont val="Arial"/>
      </rPr>
      <t>3.</t>
    </r>
    <r>
      <rPr>
        <sz val="12"/>
        <color theme="1"/>
        <rFont val="Arial"/>
      </rPr>
      <t xml:space="preserve"> Collect the answer sheets as per Registration No. mentioned above and submit to the control room. </t>
    </r>
    <r>
      <rPr>
        <b/>
        <sz val="12"/>
        <color theme="1"/>
        <rFont val="Arial"/>
      </rPr>
      <t>4.</t>
    </r>
    <r>
      <rPr>
        <sz val="12"/>
        <color theme="1"/>
        <rFont val="Arial"/>
      </rPr>
      <t xml:space="preserve"> Write the ABSENT Numbers in the mentioned row and mark them as absent in the seating.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</si>
</sst>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scheme val="minor"/>
    </font>
    <font>
      <b/>
      <sz val="14"/>
      <color theme="1"/>
      <name val="Arial"/>
    </font>
    <font>
      <sz val="11"/>
      <name val="Arial"/>
    </font>
    <font>
      <b/>
      <sz val="16"/>
      <color theme="1"/>
      <name val="Calibri"/>
    </font>
    <font>
      <sz val="16"/>
      <color theme="1"/>
      <name val="Calibri"/>
    </font>
    <font>
      <b/>
      <sz val="15"/>
      <color theme="1"/>
      <name val="Calibri"/>
    </font>
    <font>
      <b/>
      <sz val="17"/>
      <color theme="1"/>
      <name val="Calibri"/>
    </font>
    <font>
      <b/>
      <sz val="24"/>
      <color theme="1"/>
      <name val="Calibri"/>
    </font>
    <font>
      <sz val="11"/>
      <color theme="1"/>
      <name val="Calibri"/>
    </font>
    <font>
      <b/>
      <sz val="13"/>
      <color theme="1"/>
      <name val="Arial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Arial"/>
    </font>
    <font>
      <sz val="14"/>
      <color theme="1"/>
      <name val="Calibri"/>
    </font>
    <font>
      <b/>
      <sz val="11"/>
      <color theme="1"/>
      <name val="Arial"/>
    </font>
    <font>
      <b/>
      <sz val="12"/>
      <color theme="1"/>
      <name val="Arial"/>
    </font>
    <font>
      <b/>
      <sz val="12"/>
      <color theme="1"/>
      <name val="Calibri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vertical="center" wrapText="1"/>
    </xf>
    <xf numFmtId="0" fontId="1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vertical="center" wrapText="1"/>
    </xf>
    <xf numFmtId="0" fontId="14" fillId="0" borderId="0" xfId="0" applyFont="1"/>
    <xf numFmtId="0" fontId="13" fillId="0" borderId="4" xfId="0" applyFont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5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nu%20Gangadhar\Desktop\Project\Seating%20Plan%20Master%20copy%203-AN-S1.xlsx" TargetMode="External"/><Relationship Id="rId1" Type="http://schemas.openxmlformats.org/officeDocument/2006/relationships/externalLinkPath" Target="Seating%20Plan%20Master%20copy%203-AN-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om List"/>
      <sheetName val="S1"/>
      <sheetName val="S2"/>
      <sheetName val="VBA 101A"/>
      <sheetName val="VBA 102A"/>
      <sheetName val="VBA 103A"/>
      <sheetName val="VB 203"/>
      <sheetName val="VB 206"/>
      <sheetName val="VB 207"/>
      <sheetName val="VB 210"/>
      <sheetName val="VB 211"/>
      <sheetName val="VB 214"/>
      <sheetName val="VB 215"/>
      <sheetName val="VBA 203A"/>
      <sheetName val="VBA 201A"/>
      <sheetName val="VBA 202A"/>
      <sheetName val="VB 306"/>
      <sheetName val="VB 307"/>
      <sheetName val="VB 310"/>
      <sheetName val="VB 311"/>
      <sheetName val="VB 314"/>
      <sheetName val="VB 315"/>
      <sheetName val="VBA 301A"/>
      <sheetName val="VBA 302A "/>
      <sheetName val="VBA 303A  "/>
      <sheetName val="VB 402"/>
      <sheetName val="VB 402 A"/>
      <sheetName val="VB 404"/>
      <sheetName val="VB 405"/>
      <sheetName val="VB 408"/>
      <sheetName val="VB 409"/>
      <sheetName val="VB 412"/>
      <sheetName val="VB 413"/>
      <sheetName val="VB 415"/>
      <sheetName val="VB 415A"/>
      <sheetName val="VBA 401A"/>
      <sheetName val="VBA 402A "/>
      <sheetName val="VBA 403A  "/>
      <sheetName val="105"/>
      <sheetName val="106"/>
      <sheetName val="107"/>
      <sheetName val="111"/>
      <sheetName val="112"/>
      <sheetName val="113"/>
      <sheetName val="118"/>
      <sheetName val="119"/>
      <sheetName val="122"/>
      <sheetName val="126"/>
      <sheetName val="132"/>
      <sheetName val="133"/>
      <sheetName val="205"/>
      <sheetName val="206"/>
      <sheetName val="207"/>
      <sheetName val="216"/>
      <sheetName val="217"/>
      <sheetName val="218"/>
      <sheetName val="223"/>
      <sheetName val="224"/>
      <sheetName val="227"/>
      <sheetName val="228"/>
      <sheetName val="231"/>
      <sheetName val="237"/>
      <sheetName val="305"/>
      <sheetName val="306"/>
      <sheetName val="307"/>
      <sheetName val="315"/>
      <sheetName val="316"/>
      <sheetName val="317"/>
      <sheetName val="318"/>
      <sheetName val="323"/>
      <sheetName val="324"/>
      <sheetName val="327"/>
      <sheetName val="328"/>
      <sheetName val="331"/>
      <sheetName val="337"/>
      <sheetName val="338"/>
      <sheetName val="405"/>
      <sheetName val="406"/>
      <sheetName val="407"/>
      <sheetName val="416"/>
      <sheetName val="417"/>
      <sheetName val="418"/>
      <sheetName val="423"/>
      <sheetName val="424"/>
      <sheetName val="427"/>
      <sheetName val="428"/>
      <sheetName val="431"/>
      <sheetName val="438"/>
      <sheetName val="505"/>
      <sheetName val="617"/>
      <sheetName val="506"/>
      <sheetName val="507"/>
      <sheetName val="508"/>
      <sheetName val="515"/>
      <sheetName val="516"/>
      <sheetName val="517"/>
      <sheetName val="518"/>
      <sheetName val="523"/>
      <sheetName val="524"/>
      <sheetName val="527"/>
      <sheetName val="531"/>
      <sheetName val="538"/>
      <sheetName val="602B"/>
      <sheetName val="603A"/>
      <sheetName val="603B"/>
      <sheetName val="604"/>
      <sheetName val="605"/>
      <sheetName val="606"/>
      <sheetName val="607"/>
      <sheetName val="608A"/>
      <sheetName val="608B"/>
      <sheetName val="612 "/>
      <sheetName val="613"/>
      <sheetName val="620"/>
      <sheetName val="627"/>
      <sheetName val="626"/>
      <sheetName val="609A"/>
      <sheetName val="609B"/>
      <sheetName val="CB-401"/>
      <sheetName val="CB-402"/>
      <sheetName val="CB-403"/>
      <sheetName val="CB-408"/>
      <sheetName val="CB-410"/>
      <sheetName val="CB-411"/>
      <sheetName val="CB-415"/>
      <sheetName val="CB-416"/>
      <sheetName val="CB-417"/>
      <sheetName val="CB-302"/>
      <sheetName val="CB-307"/>
      <sheetName val="CB-308"/>
      <sheetName val="CB-314"/>
      <sheetName val="CB-315"/>
    </sheetNames>
    <sheetDataSet>
      <sheetData sheetId="0">
        <row r="3">
          <cell r="C3" t="str">
            <v>101A</v>
          </cell>
          <cell r="G3">
            <v>6</v>
          </cell>
          <cell r="H3">
            <v>6</v>
          </cell>
          <cell r="I3">
            <v>6</v>
          </cell>
          <cell r="J3">
            <v>6</v>
          </cell>
          <cell r="M3">
            <v>24</v>
          </cell>
        </row>
      </sheetData>
      <sheetData sheetId="1">
        <row r="2">
          <cell r="I2">
            <v>46087</v>
          </cell>
          <cell r="K2" t="str">
            <v>10:15 AM to 12:15 PM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74E7-C65D-48DB-B497-D9F6D7142607}">
  <sheetPr codeName="Sheet4">
    <pageSetUpPr fitToPage="1"/>
  </sheetPr>
  <dimension ref="A1:X1000"/>
  <sheetViews>
    <sheetView tabSelected="1" zoomScale="58" workbookViewId="0">
      <selection sqref="A1:K1"/>
    </sheetView>
  </sheetViews>
  <sheetFormatPr defaultColWidth="12.59765625" defaultRowHeight="15" customHeight="1" x14ac:dyDescent="0.25"/>
  <cols>
    <col min="1" max="1" width="23" customWidth="1"/>
    <col min="2" max="2" width="22" customWidth="1"/>
    <col min="3" max="3" width="1" customWidth="1"/>
    <col min="4" max="4" width="20.5" customWidth="1"/>
    <col min="5" max="5" width="22.09765625" customWidth="1"/>
    <col min="6" max="6" width="1" customWidth="1"/>
    <col min="7" max="7" width="20.59765625" customWidth="1"/>
    <col min="8" max="8" width="21.8984375" customWidth="1"/>
    <col min="9" max="9" width="1" customWidth="1"/>
    <col min="10" max="10" width="20.59765625" customWidth="1"/>
    <col min="11" max="11" width="22.09765625" customWidth="1"/>
    <col min="12" max="18" width="8" customWidth="1"/>
    <col min="19" max="19" width="14.3984375" customWidth="1"/>
    <col min="20" max="24" width="8" customWidth="1"/>
  </cols>
  <sheetData>
    <row r="1" spans="1:24" ht="41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24" ht="29.25" customHeight="1" x14ac:dyDescent="0.25">
      <c r="A2" s="4" t="s">
        <v>1</v>
      </c>
      <c r="B2" s="5">
        <f>[1]S1!$I$2</f>
        <v>46087</v>
      </c>
      <c r="C2" s="4"/>
      <c r="D2" s="4" t="s">
        <v>2</v>
      </c>
      <c r="E2" s="4" t="str">
        <f>[1]S1!$K$2</f>
        <v>10:15 AM to 12:15 PM</v>
      </c>
      <c r="F2" s="6"/>
      <c r="G2" s="4"/>
      <c r="H2" s="4"/>
      <c r="I2" s="7"/>
      <c r="J2" s="8" t="s">
        <v>3</v>
      </c>
      <c r="K2" s="9" t="str">
        <f>_xlfn.SINGLE(_xlfn.CONCAT("VBA -", T9))</f>
        <v>VBA -101A</v>
      </c>
    </row>
    <row r="3" spans="1:24" ht="21.75" customHeight="1" x14ac:dyDescent="0.25">
      <c r="A3" s="10"/>
      <c r="B3" s="11" t="s">
        <v>4</v>
      </c>
      <c r="C3" s="2"/>
      <c r="D3" s="2"/>
      <c r="E3" s="2"/>
      <c r="F3" s="3"/>
      <c r="G3" s="11" t="s">
        <v>5</v>
      </c>
      <c r="H3" s="2"/>
      <c r="I3" s="2"/>
      <c r="J3" s="3"/>
      <c r="K3" s="10"/>
    </row>
    <row r="4" spans="1:24" ht="21.75" customHeight="1" x14ac:dyDescent="0.25">
      <c r="A4" s="12">
        <v>1</v>
      </c>
      <c r="B4" s="13"/>
      <c r="C4" s="2"/>
      <c r="D4" s="2"/>
      <c r="E4" s="2"/>
      <c r="F4" s="3"/>
      <c r="G4" s="14"/>
      <c r="H4" s="2"/>
      <c r="I4" s="2"/>
      <c r="J4" s="3"/>
      <c r="K4" s="10"/>
    </row>
    <row r="5" spans="1:24" ht="21.75" customHeight="1" x14ac:dyDescent="0.25">
      <c r="A5" s="12">
        <v>2</v>
      </c>
      <c r="B5" s="13"/>
      <c r="C5" s="2"/>
      <c r="D5" s="2"/>
      <c r="E5" s="2"/>
      <c r="F5" s="3"/>
      <c r="G5" s="14"/>
      <c r="H5" s="2"/>
      <c r="I5" s="2"/>
      <c r="J5" s="3"/>
      <c r="K5" s="10"/>
    </row>
    <row r="6" spans="1:24" ht="21.75" customHeight="1" x14ac:dyDescent="0.25">
      <c r="A6" s="12"/>
      <c r="B6" s="13"/>
      <c r="C6" s="2"/>
      <c r="D6" s="2"/>
      <c r="E6" s="2"/>
      <c r="F6" s="3"/>
      <c r="G6" s="14"/>
      <c r="H6" s="2"/>
      <c r="I6" s="2"/>
      <c r="J6" s="3"/>
      <c r="K6" s="10"/>
    </row>
    <row r="7" spans="1:24" ht="9.75" customHeight="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24" ht="24.75" customHeight="1" x14ac:dyDescent="0.25">
      <c r="A8" s="15" t="e" cm="1">
        <f t="array" aca="1" ref="A8" ca="1">_xlfn.UNIQUE(INDIRECT("'S1'!C" &amp; $T$12 &amp; ":C" &amp; $T$13))</f>
        <v>#REF!</v>
      </c>
      <c r="B8" s="15" t="e" cm="1">
        <f t="array" aca="1" ref="B8" ca="1">_xlfn.UNIQUE(INDIRECT("'S2'!C" &amp; $T$12 &amp; ":C" &amp; $T$13))</f>
        <v>#REF!</v>
      </c>
      <c r="C8" s="16"/>
      <c r="D8" s="15" t="e" cm="1">
        <f t="array" aca="1" ref="D8" ca="1">_xlfn.UNIQUE(INDIRECT("'S1'!C" &amp; $U$12 &amp; ":C" &amp; $U$13))</f>
        <v>#REF!</v>
      </c>
      <c r="E8" s="15" t="e" cm="1">
        <f t="array" aca="1" ref="E8" ca="1">_xlfn.UNIQUE(INDIRECT("'S2'!C" &amp; $U$12 &amp; ":C" &amp; $U$13))</f>
        <v>#REF!</v>
      </c>
      <c r="F8" s="16"/>
      <c r="G8" s="15" t="e" cm="1">
        <f t="array" aca="1" ref="G8" ca="1">_xlfn.UNIQUE(INDIRECT("'S1'!C" &amp; $V$12 &amp; ":C" &amp; $V$13))</f>
        <v>#REF!</v>
      </c>
      <c r="H8" s="15" t="e" cm="1">
        <f t="array" aca="1" ref="H8" ca="1">_xlfn.UNIQUE(INDIRECT("'S2'!C" &amp; $V$12 &amp; ":C" &amp; $V$13))</f>
        <v>#REF!</v>
      </c>
      <c r="I8" s="16"/>
      <c r="J8" s="15" t="e" cm="1">
        <f t="array" aca="1" ref="J8" ca="1">_xlfn.UNIQUE(INDIRECT("'S1'!C" &amp; $W$12 &amp; ":C" &amp; $W$13))</f>
        <v>#REF!</v>
      </c>
      <c r="K8" s="15" t="e" cm="1">
        <f t="array" aca="1" ref="K8" ca="1">_xlfn.UNIQUE(INDIRECT("'S2'!C" &amp; $W$12 &amp; ":C" &amp; $W$13))</f>
        <v>#REF!</v>
      </c>
    </row>
    <row r="9" spans="1:24" ht="24.75" customHeight="1" x14ac:dyDescent="0.25">
      <c r="A9" s="15"/>
      <c r="B9" s="15"/>
      <c r="C9" s="16"/>
      <c r="D9" s="15"/>
      <c r="E9" s="15"/>
      <c r="F9" s="16"/>
      <c r="G9" s="15"/>
      <c r="H9" s="15"/>
      <c r="I9" s="16"/>
      <c r="J9" s="15"/>
      <c r="K9" s="15"/>
      <c r="T9" s="17" t="str">
        <f>'[1]Room List'!C3</f>
        <v>101A</v>
      </c>
    </row>
    <row r="10" spans="1:24" ht="33.75" customHeight="1" x14ac:dyDescent="0.25">
      <c r="A10" s="18" t="e">
        <f t="array" aca="1" ref="A10" ca="1">INDEX("Sem:" &amp; INDIRECT("'S1'!F" &amp; $T$12 &amp; ":F" &amp; $T$13), 1, 1)</f>
        <v>#REF!</v>
      </c>
      <c r="B10" s="18" t="e">
        <f t="array" aca="1" ref="B10" ca="1">INDEX("Sem:" &amp; INDIRECT("'S2'!F" &amp; $T$12 &amp; ":F" &amp; $T$13), 1, 1)</f>
        <v>#REF!</v>
      </c>
      <c r="C10" s="19"/>
      <c r="D10" s="18" t="e">
        <f t="array" aca="1" ref="D10" ca="1">INDEX("Sem:" &amp; INDIRECT("'S1'!F" &amp; $U$12 &amp; ":F" &amp; $U$13), 1, 1)</f>
        <v>#REF!</v>
      </c>
      <c r="E10" s="18" t="e">
        <f t="array" aca="1" ref="E10" ca="1">INDEX("Sem:" &amp; INDIRECT("'S2'!F" &amp; $U$12 &amp; ":F" &amp; $U$13), 1, 1)</f>
        <v>#REF!</v>
      </c>
      <c r="F10" s="19"/>
      <c r="G10" s="18" t="e">
        <f t="array" aca="1" ref="G10" ca="1">INDEX("Sem:" &amp; INDIRECT("'S1'!F" &amp; $V$12 &amp; ":F" &amp; $V$13), 1, 1)</f>
        <v>#REF!</v>
      </c>
      <c r="H10" s="18" t="e">
        <f t="array" aca="1" ref="H10" ca="1">INDEX("Sem:" &amp; INDIRECT("'S2'!F" &amp; $V$12 &amp; ":F" &amp; $V$13), 1, 1)</f>
        <v>#REF!</v>
      </c>
      <c r="I10" s="19"/>
      <c r="J10" s="18" t="e">
        <f t="array" aca="1" ref="J10" ca="1">INDEX("Sem:" &amp; INDIRECT("'S1'!F" &amp; $W$12 &amp; ":F" &amp; $W$13), 1, 1)</f>
        <v>#REF!</v>
      </c>
      <c r="K10" s="18" t="e">
        <f t="array" aca="1" ref="K10" ca="1">INDEX("Sem:" &amp; INDIRECT("'S2'!F" &amp; $W$12 &amp; ":F" &amp; $W$13), 1, 1)</f>
        <v>#REF!</v>
      </c>
      <c r="S10" s="20" t="s">
        <v>6</v>
      </c>
      <c r="T10" s="20">
        <f>'[1]Room List'!G3</f>
        <v>6</v>
      </c>
      <c r="U10" s="20">
        <f>'[1]Room List'!H3</f>
        <v>6</v>
      </c>
      <c r="V10" s="20">
        <f>'[1]Room List'!I3</f>
        <v>6</v>
      </c>
      <c r="W10" s="20">
        <f>'[1]Room List'!J3</f>
        <v>6</v>
      </c>
      <c r="X10" s="20">
        <f>'[1]Room List'!M3</f>
        <v>24</v>
      </c>
    </row>
    <row r="11" spans="1:24" ht="29.25" customHeight="1" x14ac:dyDescent="0.25">
      <c r="A11" s="21" t="e" cm="1">
        <f t="array" aca="1" ref="A11:A16" ca="1">INDEX(INDIRECT("'S1'!A" &amp; $T$12 &amp; ":A" &amp; $T$13), _xlfn.SEQUENCE($T$10, 1))</f>
        <v>#REF!</v>
      </c>
      <c r="B11" s="21" t="e" cm="1">
        <f t="array" aca="1" ref="B11:B16" ca="1">INDEX(INDIRECT("'S2'!A" &amp; $T$12 &amp; ":A" &amp; $T$13), _xlfn.SEQUENCE($T$10, 1))</f>
        <v>#REF!</v>
      </c>
      <c r="C11" s="22"/>
      <c r="D11" s="21" t="e" cm="1">
        <f t="array" aca="1" ref="D11:D16" ca="1">INDEX(INDIRECT("'S1'!A" &amp; $U$12 &amp; ":A" &amp; $U$13), _xlfn.SEQUENCE($U$10, 1))</f>
        <v>#REF!</v>
      </c>
      <c r="E11" s="21" t="e" cm="1">
        <f t="array" aca="1" ref="E11:E16" ca="1">INDEX(INDIRECT("'S2'!A" &amp; $U$12 &amp; ":A" &amp; $U$13), _xlfn.SEQUENCE($U$10, 1))</f>
        <v>#REF!</v>
      </c>
      <c r="F11" s="22"/>
      <c r="G11" s="21" t="e" cm="1">
        <f t="array" aca="1" ref="G11:G16" ca="1">INDEX(INDIRECT("'S1'!A" &amp; $V$12 &amp; ":A" &amp; $V$13), _xlfn.SEQUENCE($V$10, 1))</f>
        <v>#REF!</v>
      </c>
      <c r="H11" s="21" t="e" cm="1">
        <f t="array" aca="1" ref="H11:H16" ca="1">INDEX(INDIRECT("'S2'!A" &amp; $V$12 &amp; ":A" &amp; $V$13), _xlfn.SEQUENCE($V$10, 1))</f>
        <v>#REF!</v>
      </c>
      <c r="I11" s="22"/>
      <c r="J11" s="21" t="e" cm="1">
        <f t="array" aca="1" ref="J11:J16" ca="1">INDEX(INDIRECT("'S1'!A" &amp; $W$12 &amp; ":A" &amp; $W$13), _xlfn.SEQUENCE($W$10, 1))</f>
        <v>#REF!</v>
      </c>
      <c r="K11" s="21" t="e" cm="1">
        <f t="array" aca="1" ref="K11:K16" ca="1">INDEX(INDIRECT("'S2'!A" &amp; $W$12 &amp; ":A" &amp; $W$13), _xlfn.SEQUENCE($W$10, 1))</f>
        <v>#REF!</v>
      </c>
    </row>
    <row r="12" spans="1:24" ht="29.25" customHeight="1" x14ac:dyDescent="0.25">
      <c r="A12" s="21" t="e">
        <f ca="1"/>
        <v>#REF!</v>
      </c>
      <c r="B12" s="21" t="e">
        <f ca="1"/>
        <v>#REF!</v>
      </c>
      <c r="C12" s="22"/>
      <c r="D12" s="21" t="e">
        <f ca="1"/>
        <v>#REF!</v>
      </c>
      <c r="E12" s="21" t="e">
        <f ca="1"/>
        <v>#REF!</v>
      </c>
      <c r="F12" s="22"/>
      <c r="G12" s="21" t="e">
        <f ca="1"/>
        <v>#REF!</v>
      </c>
      <c r="H12" s="21" t="e">
        <f ca="1"/>
        <v>#REF!</v>
      </c>
      <c r="I12" s="22"/>
      <c r="J12" s="21" t="e">
        <f ca="1"/>
        <v>#REF!</v>
      </c>
      <c r="K12" s="21" t="e">
        <f ca="1"/>
        <v>#REF!</v>
      </c>
      <c r="T12" s="17">
        <v>2</v>
      </c>
      <c r="U12" s="17">
        <f t="shared" ref="U12:W12" si="0">SUM(T13+1)</f>
        <v>8</v>
      </c>
      <c r="V12" s="17">
        <f t="shared" si="0"/>
        <v>14</v>
      </c>
      <c r="W12" s="17">
        <f t="shared" si="0"/>
        <v>20</v>
      </c>
    </row>
    <row r="13" spans="1:24" ht="29.25" customHeight="1" x14ac:dyDescent="0.25">
      <c r="A13" s="21" t="e">
        <f ca="1"/>
        <v>#REF!</v>
      </c>
      <c r="B13" s="21" t="e">
        <f ca="1"/>
        <v>#REF!</v>
      </c>
      <c r="C13" s="22"/>
      <c r="D13" s="21" t="e">
        <f ca="1"/>
        <v>#REF!</v>
      </c>
      <c r="E13" s="21" t="e">
        <f ca="1"/>
        <v>#REF!</v>
      </c>
      <c r="F13" s="22"/>
      <c r="G13" s="21" t="e">
        <f ca="1"/>
        <v>#REF!</v>
      </c>
      <c r="H13" s="21" t="e">
        <f ca="1"/>
        <v>#REF!</v>
      </c>
      <c r="I13" s="22"/>
      <c r="J13" s="21" t="e">
        <f ca="1"/>
        <v>#REF!</v>
      </c>
      <c r="K13" s="21" t="e">
        <f ca="1"/>
        <v>#REF!</v>
      </c>
      <c r="T13" s="17">
        <f t="shared" ref="T13:W13" si="1">SUM(T12,T10-1)</f>
        <v>7</v>
      </c>
      <c r="U13" s="17">
        <f t="shared" si="1"/>
        <v>13</v>
      </c>
      <c r="V13" s="17">
        <f t="shared" si="1"/>
        <v>19</v>
      </c>
      <c r="W13" s="17">
        <f t="shared" si="1"/>
        <v>25</v>
      </c>
    </row>
    <row r="14" spans="1:24" ht="29.25" customHeight="1" x14ac:dyDescent="0.25">
      <c r="A14" s="21" t="e">
        <f ca="1"/>
        <v>#REF!</v>
      </c>
      <c r="B14" s="21" t="e">
        <f ca="1"/>
        <v>#REF!</v>
      </c>
      <c r="C14" s="22"/>
      <c r="D14" s="21" t="e">
        <f ca="1"/>
        <v>#REF!</v>
      </c>
      <c r="E14" s="21" t="e">
        <f ca="1"/>
        <v>#REF!</v>
      </c>
      <c r="F14" s="22"/>
      <c r="G14" s="21" t="e">
        <f ca="1"/>
        <v>#REF!</v>
      </c>
      <c r="H14" s="21" t="e">
        <f ca="1"/>
        <v>#REF!</v>
      </c>
      <c r="I14" s="22"/>
      <c r="J14" s="21" t="e">
        <f ca="1"/>
        <v>#REF!</v>
      </c>
      <c r="K14" s="21" t="e">
        <f ca="1"/>
        <v>#REF!</v>
      </c>
    </row>
    <row r="15" spans="1:24" ht="29.25" customHeight="1" x14ac:dyDescent="0.25">
      <c r="A15" s="21" t="e">
        <f ca="1"/>
        <v>#REF!</v>
      </c>
      <c r="B15" s="21" t="e">
        <f ca="1"/>
        <v>#REF!</v>
      </c>
      <c r="C15" s="22"/>
      <c r="D15" s="21" t="e">
        <f ca="1"/>
        <v>#REF!</v>
      </c>
      <c r="E15" s="21" t="e">
        <f ca="1"/>
        <v>#REF!</v>
      </c>
      <c r="F15" s="22"/>
      <c r="G15" s="21" t="e">
        <f ca="1"/>
        <v>#REF!</v>
      </c>
      <c r="H15" s="21" t="e">
        <f ca="1"/>
        <v>#REF!</v>
      </c>
      <c r="I15" s="22"/>
      <c r="J15" s="21" t="e">
        <f ca="1"/>
        <v>#REF!</v>
      </c>
      <c r="K15" s="21" t="e">
        <f ca="1"/>
        <v>#REF!</v>
      </c>
    </row>
    <row r="16" spans="1:24" ht="29.25" customHeight="1" x14ac:dyDescent="0.25">
      <c r="A16" s="21" t="e">
        <f ca="1"/>
        <v>#REF!</v>
      </c>
      <c r="B16" s="21" t="e">
        <f ca="1"/>
        <v>#REF!</v>
      </c>
      <c r="C16" s="23"/>
      <c r="D16" s="21" t="e">
        <f ca="1"/>
        <v>#REF!</v>
      </c>
      <c r="E16" s="21" t="e">
        <f ca="1"/>
        <v>#REF!</v>
      </c>
      <c r="F16" s="23"/>
      <c r="G16" s="21" t="e">
        <f ca="1"/>
        <v>#REF!</v>
      </c>
      <c r="H16" s="21" t="e">
        <f ca="1"/>
        <v>#REF!</v>
      </c>
      <c r="I16" s="23"/>
      <c r="J16" s="21" t="e">
        <f ca="1"/>
        <v>#REF!</v>
      </c>
      <c r="K16" s="21" t="e">
        <f ca="1"/>
        <v>#REF!</v>
      </c>
    </row>
    <row r="17" spans="1:11" ht="29.25" customHeight="1" x14ac:dyDescent="0.25">
      <c r="A17" s="24" t="s">
        <v>7</v>
      </c>
      <c r="B17" s="25" t="s">
        <v>8</v>
      </c>
      <c r="C17" s="2"/>
      <c r="D17" s="2"/>
      <c r="E17" s="2"/>
      <c r="F17" s="2"/>
      <c r="G17" s="2"/>
      <c r="H17" s="3"/>
      <c r="I17" s="26"/>
      <c r="J17" s="24" t="s">
        <v>9</v>
      </c>
      <c r="K17" s="24" t="s">
        <v>10</v>
      </c>
    </row>
    <row r="18" spans="1:11" ht="60" customHeight="1" x14ac:dyDescent="0.25">
      <c r="A18" s="27" t="e">
        <f ca="1">$A$10</f>
        <v>#REF!</v>
      </c>
      <c r="B18" s="14"/>
      <c r="C18" s="2"/>
      <c r="D18" s="2"/>
      <c r="E18" s="2"/>
      <c r="F18" s="2"/>
      <c r="G18" s="2"/>
      <c r="H18" s="3"/>
      <c r="I18" s="10"/>
      <c r="J18" s="10"/>
      <c r="K18" s="10"/>
    </row>
    <row r="19" spans="1:11" ht="60" customHeight="1" x14ac:dyDescent="0.25">
      <c r="A19" s="27" t="e">
        <f ca="1">$B$10</f>
        <v>#REF!</v>
      </c>
      <c r="B19" s="14"/>
      <c r="C19" s="2"/>
      <c r="D19" s="2"/>
      <c r="E19" s="2"/>
      <c r="F19" s="2"/>
      <c r="G19" s="2"/>
      <c r="H19" s="3"/>
      <c r="I19" s="10"/>
      <c r="J19" s="10"/>
      <c r="K19" s="10"/>
    </row>
    <row r="20" spans="1:11" ht="43.5" customHeight="1" x14ac:dyDescent="0.25">
      <c r="A20" s="25" t="s">
        <v>11</v>
      </c>
      <c r="B20" s="2"/>
      <c r="C20" s="2"/>
      <c r="D20" s="2"/>
      <c r="E20" s="2"/>
      <c r="F20" s="2"/>
      <c r="G20" s="2"/>
      <c r="H20" s="2"/>
      <c r="I20" s="2"/>
      <c r="J20" s="2"/>
      <c r="K20" s="3"/>
    </row>
    <row r="21" spans="1:11" ht="15.75" customHeight="1" x14ac:dyDescent="0.25"/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B6:F6"/>
    <mergeCell ref="G6:J6"/>
    <mergeCell ref="B17:H17"/>
    <mergeCell ref="B18:H18"/>
    <mergeCell ref="B19:H19"/>
    <mergeCell ref="A20:K20"/>
    <mergeCell ref="A1:K1"/>
    <mergeCell ref="B3:F3"/>
    <mergeCell ref="G3:J3"/>
    <mergeCell ref="B4:F4"/>
    <mergeCell ref="G4:J4"/>
    <mergeCell ref="B5:F5"/>
    <mergeCell ref="G5:J5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VBA 101A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Gangadhar Bheemarasetty</dc:creator>
  <cp:lastModifiedBy>Venu Gangadhar Bheemarasetty</cp:lastModifiedBy>
  <dcterms:created xsi:type="dcterms:W3CDTF">2026-07-15T22:47:25Z</dcterms:created>
  <dcterms:modified xsi:type="dcterms:W3CDTF">2026-07-15T22:47:52Z</dcterms:modified>
</cp:coreProperties>
</file>